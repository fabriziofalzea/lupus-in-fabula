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Assunzioni" sheetId="1" state="visible" r:id="rId3"/>
    <sheet name="💶 Revenue" sheetId="2" state="visible" r:id="rId4"/>
    <sheet name="🎙️ ElevenLabs" sheetId="3" state="visible" r:id="rId5"/>
    <sheet name="📈 Scenar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<sst xmlns="http://schemas.openxmlformats.org/spreadsheetml/2006/main" count="174" uniqueCount="164">
  <si>
    <t xml:space="preserve">🐺  LUPUS IN FABULA — Modello Finanziario</t>
  </si>
  <si>
    <t xml:space="preserve">Assunzioni &amp; Input — modifica i valori BLU per creare scenari</t>
  </si>
  <si>
    <t xml:space="preserve">  💰 PREZZI IAP (al lordo commissione store)</t>
  </si>
  <si>
    <t xml:space="preserve">Pack Ruoli — prezzo unitario</t>
  </si>
  <si>
    <t xml:space="preserve">3 pack disponibili: Oscurità, Amore, Mistero</t>
  </si>
  <si>
    <t xml:space="preserve">Pass Narratore (una tantum)</t>
  </si>
  <si>
    <t xml:space="preserve">Voce ElevenLabs premium, Daniel/Adam/Arnold/custom</t>
  </si>
  <si>
    <t xml:space="preserve">Bundle Completo</t>
  </si>
  <si>
    <t xml:space="preserve">Tutti i pack + Pass Narratore (sconto ~20%)</t>
  </si>
  <si>
    <t xml:space="preserve">Commissione App Store / Google Play</t>
  </si>
  <si>
    <t xml:space="preserve">Standard 30%; Small Business Program Apple → 15%</t>
  </si>
  <si>
    <t xml:space="preserve">Commissione Small Business (&lt; $1M MRR)</t>
  </si>
  <si>
    <t xml:space="preserve">Apple riduce al 15% se MRR &lt; $1M — applicabile Y1/Y2</t>
  </si>
  <si>
    <t xml:space="preserve">  📊 UTENTI — Scenario Realistico (modifica per altri scenari)</t>
  </si>
  <si>
    <t xml:space="preserve">Download Y1</t>
  </si>
  <si>
    <t xml:space="preserve">Stima conservativa — launch Italia</t>
  </si>
  <si>
    <t xml:space="preserve">Download Y2</t>
  </si>
  <si>
    <t xml:space="preserve">Espansione social + recensioni</t>
  </si>
  <si>
    <t xml:space="preserve">Download Y3</t>
  </si>
  <si>
    <t xml:space="preserve">Crescita organica + App Store feature</t>
  </si>
  <si>
    <t xml:space="preserve">MAU / Download (ratio mensile attivo)</t>
  </si>
  <si>
    <t xml:space="preserve">40% degli utenti tornano ogni mese</t>
  </si>
  <si>
    <t xml:space="preserve">Conv. Pack Ruoli (% di chi paga almeno 1 pack)</t>
  </si>
  <si>
    <t xml:space="preserve">7% — benchmark freemium giochi sociali</t>
  </si>
  <si>
    <t xml:space="preserve">Conv. Pass Narratore (% di utenti totali)</t>
  </si>
  <si>
    <t xml:space="preserve">4% — la voce si sente subito, alta motivazione</t>
  </si>
  <si>
    <t xml:space="preserve">Conv. Bundle Completo (% di utenti totali)</t>
  </si>
  <si>
    <t xml:space="preserve">2% — acquisto premium one-shot</t>
  </si>
  <si>
    <t xml:space="preserve">Pack medi acquistati per utente convertito</t>
  </si>
  <si>
    <t xml:space="preserve">Non tutti comprano tutti i pack</t>
  </si>
  <si>
    <t xml:space="preserve">  🎙️ ELEVENLABS — Costi API</t>
  </si>
  <si>
    <t xml:space="preserve">Caratteri per narrazione (media)</t>
  </si>
  <si>
    <t xml:space="preserve">Una fase notturna tipica = ~180 char</t>
  </si>
  <si>
    <t xml:space="preserve">Narrazioni per partita</t>
  </si>
  <si>
    <t xml:space="preserve">Apertura, lupi, veggente, guardia, alba, giorno, voto, chiusura</t>
  </si>
  <si>
    <t xml:space="preserve">Partite al mese per utente Pass attivo</t>
  </si>
  <si>
    <t xml:space="preserve">Media: 2-3 serate/mese con EL attivo</t>
  </si>
  <si>
    <t xml:space="preserve">Piano EL — soglia Creator (char/mese)</t>
  </si>
  <si>
    <t xml:space="preserve">$22/mese — sufficiente per ~55 utenti Pass</t>
  </si>
  <si>
    <t xml:space="preserve">Piano EL — costo Creator (€/mese)</t>
  </si>
  <si>
    <t xml:space="preserve">~$22 → ~€20 al cambio</t>
  </si>
  <si>
    <t xml:space="preserve">Piano EL — soglia Pro (char/mese)</t>
  </si>
  <si>
    <t xml:space="preserve">$99/mese — sufficiente per ~278 utenti Pass</t>
  </si>
  <si>
    <t xml:space="preserve">Piano EL — costo Pro (€/mese)</t>
  </si>
  <si>
    <t xml:space="preserve">~$99 → ~€91 al cambio</t>
  </si>
  <si>
    <t xml:space="preserve">Piano EL — soglia Scale (char/mese)</t>
  </si>
  <si>
    <t xml:space="preserve">$330/mese — ~1.111 utenti Pass</t>
  </si>
  <si>
    <t xml:space="preserve">Piano EL — costo Scale (€/mese)</t>
  </si>
  <si>
    <t xml:space="preserve">~$330 → ~€303 al cambio</t>
  </si>
  <si>
    <t xml:space="preserve">  🔧 ALTRI COSTI FISSI (€/mese)</t>
  </si>
  <si>
    <t xml:space="preserve">Apple Developer Program</t>
  </si>
  <si>
    <t xml:space="preserve">€99/anno ÷ 12</t>
  </si>
  <si>
    <t xml:space="preserve">Google Play (una tantum, amm. 12 mesi)</t>
  </si>
  <si>
    <t xml:space="preserve">€23 ÷ 12</t>
  </si>
  <si>
    <t xml:space="preserve">Netlify Pro (se supera free tier)</t>
  </si>
  <si>
    <t xml:space="preserve">$19/mese — free fino a 100GB bandwidth</t>
  </si>
  <si>
    <t xml:space="preserve">RevenueCat (gratis fino a $2.5k MRR)</t>
  </si>
  <si>
    <t xml:space="preserve">0% fee fino a €2.300 MRR, poi 1% — inserire 0 in Y1/Y2</t>
  </si>
  <si>
    <t xml:space="preserve">Firebase (Spark free fino a ~100k conn.)</t>
  </si>
  <si>
    <t xml:space="preserve">Gratis per Y1; Blaze pay-as-you-go da Y2 se scala</t>
  </si>
  <si>
    <t xml:space="preserve">Legenda colori:</t>
  </si>
  <si>
    <t xml:space="preserve">      Blu  = Input modificabile</t>
  </si>
  <si>
    <t xml:space="preserve">      Nero = Formula calcolata</t>
  </si>
  <si>
    <t xml:space="preserve">      Verde = Link da altro foglio</t>
  </si>
  <si>
    <t xml:space="preserve">🐺  LUPUS IN FABULA — Proiezioni Revenue  (Scenario Realistico)</t>
  </si>
  <si>
    <t xml:space="preserve">Voce</t>
  </si>
  <si>
    <t xml:space="preserve">Anno 1</t>
  </si>
  <si>
    <t xml:space="preserve">Anno 2</t>
  </si>
  <si>
    <t xml:space="preserve">Anno 3</t>
  </si>
  <si>
    <t xml:space="preserve">Note</t>
  </si>
  <si>
    <t xml:space="preserve">  👥 BASE UTENTI</t>
  </si>
  <si>
    <t xml:space="preserve">Download cumulativi</t>
  </si>
  <si>
    <t xml:space="preserve">Cumulativi (utenti totali registrati)</t>
  </si>
  <si>
    <t xml:space="preserve">MAU (Utenti Attivi Mensili) — media anno</t>
  </si>
  <si>
    <t xml:space="preserve">Download × ratio mensile attivo</t>
  </si>
  <si>
    <t xml:space="preserve">  💰 RICAVI LORDI (prima commissione store)</t>
  </si>
  <si>
    <t xml:space="preserve">  Pack Ruoli — ricavi lordi</t>
  </si>
  <si>
    <t xml:space="preserve">MAU × conv. pack × pack medi × prezzo unitario</t>
  </si>
  <si>
    <t xml:space="preserve">  Pass Narratore — ricavi lordi</t>
  </si>
  <si>
    <t xml:space="preserve">MAU × conv. pass × prezzo</t>
  </si>
  <si>
    <t xml:space="preserve">  Bundle Completo — ricavi lordi</t>
  </si>
  <si>
    <t xml:space="preserve">MAU × conv. bundle × prezzo</t>
  </si>
  <si>
    <t xml:space="preserve">TOTALE RICAVI LORDI</t>
  </si>
  <si>
    <t xml:space="preserve">Somma pack + pass + bundle</t>
  </si>
  <si>
    <t xml:space="preserve">  Commissione Store (15% Y1/Y2, 30% Y3+)</t>
  </si>
  <si>
    <t xml:space="preserve">Apple Small Business 15% (MRR&lt;$1M) → 30% da Y3</t>
  </si>
  <si>
    <t xml:space="preserve">RICAVI NETTI (dopo store)</t>
  </si>
  <si>
    <t xml:space="preserve">Lordo + commissione (negativa)</t>
  </si>
  <si>
    <t xml:space="preserve">  📉 COSTI OPERATIVI (annui)</t>
  </si>
  <si>
    <t xml:space="preserve">  ElevenLabs API (piano auto da utilizzo)</t>
  </si>
  <si>
    <t xml:space="preserve">Auto: Creator/Pro/Scale in base agli utenti Pass</t>
  </si>
  <si>
    <t xml:space="preserve">  Apple Developer (€99/anno)</t>
  </si>
  <si>
    <t xml:space="preserve">Fisso annuale</t>
  </si>
  <si>
    <t xml:space="preserve">  Google Play (€23 una tantum, Y1 only)</t>
  </si>
  <si>
    <t xml:space="preserve">0</t>
  </si>
  <si>
    <t xml:space="preserve">Solo primo anno</t>
  </si>
  <si>
    <t xml:space="preserve">  Netlify Pro</t>
  </si>
  <si>
    <t xml:space="preserve">Se supera free tier (100GB bandwidth)</t>
  </si>
  <si>
    <t xml:space="preserve">  RevenueCat</t>
  </si>
  <si>
    <t xml:space="preserve">Gratis &lt;$2.5k MRR, poi 1% del MRR</t>
  </si>
  <si>
    <t xml:space="preserve">  Firebase (Blaze pay-as-you-go)</t>
  </si>
  <si>
    <t xml:space="preserve">Spark free Y1/Y2; stima Blaze Y3 (~€0,0012/MAU/mese)</t>
  </si>
  <si>
    <t xml:space="preserve">TOTALE COSTI</t>
  </si>
  <si>
    <t xml:space="preserve">ElevenLabs + store + infrastruttura</t>
  </si>
  <si>
    <t xml:space="preserve">  📊 RISULTATO NETTO</t>
  </si>
  <si>
    <t xml:space="preserve">UTILE NETTO (Revenue netti - Costi)</t>
  </si>
  <si>
    <t xml:space="preserve">Profitto reale (no tasse, no costi sviluppo)</t>
  </si>
  <si>
    <t xml:space="preserve">  Margine %</t>
  </si>
  <si>
    <t xml:space="preserve">Margine su revenue netti</t>
  </si>
  <si>
    <t xml:space="preserve">  ARPU medio (€/MAU/anno)</t>
  </si>
  <si>
    <t xml:space="preserve">Revenue netti ÷ MAU (annuo)</t>
  </si>
  <si>
    <t xml:space="preserve">🎙️  CALCOLATORE COSTI ELEVENLABS — Lupus in Fabula</t>
  </si>
  <si>
    <t xml:space="preserve">  📐 CONSUMI STIMATI</t>
  </si>
  <si>
    <t xml:space="preserve">Utenti con Pass Narratore attivo (mensili)</t>
  </si>
  <si>
    <t xml:space="preserve">Modifica per simulare crescita</t>
  </si>
  <si>
    <t xml:space="preserve">Partite al mese per utente Pass</t>
  </si>
  <si>
    <t xml:space="preserve">Media serate con EL attivo</t>
  </si>
  <si>
    <t xml:space="preserve">Fasi notturne tipiche</t>
  </si>
  <si>
    <t xml:space="preserve">~180 char per frase del narratore</t>
  </si>
  <si>
    <t xml:space="preserve">▶  TOTALE CARATTERI / MESE</t>
  </si>
  <si>
    <t xml:space="preserve">0 char / nessun overage — Gratis fino a 10.000 char/mese</t>
  </si>
  <si>
    <t xml:space="preserve">  💳 PIANI ELEVENLABS (prezzi 2025)</t>
  </si>
  <si>
    <t xml:space="preserve">Piano</t>
  </si>
  <si>
    <t xml:space="preserve">Costo (€/mese)</t>
  </si>
  <si>
    <t xml:space="preserve">Char inclusi / Costo overage (€/1k char)</t>
  </si>
  <si>
    <t xml:space="preserve">  Free</t>
  </si>
  <si>
    <t xml:space="preserve">10.000 char / €0 per 1k overage — Gratis — solo test iniziale</t>
  </si>
  <si>
    <t xml:space="preserve">  Creator</t>
  </si>
  <si>
    <t xml:space="preserve">100.000 char / €0,22 per 1k overage — ~$22/mese — fino a ~55 utenti Pass</t>
  </si>
  <si>
    <t xml:space="preserve">  Pro</t>
  </si>
  <si>
    <t xml:space="preserve">500.000 char / €0,18 per 1k overage — ~$99/mese — fino a ~278 utenti Pass</t>
  </si>
  <si>
    <t xml:space="preserve">  Scale</t>
  </si>
  <si>
    <t xml:space="preserve">2.000.000 char / €0,16 per 1k overage — ~$330/mese — fino a ~1.111 utenti Pass</t>
  </si>
  <si>
    <t xml:space="preserve">  Business</t>
  </si>
  <si>
    <t xml:space="preserve">10.000.000 char / €0,12 per 1k overage — ~$1.320/mese — scala enterprise</t>
  </si>
  <si>
    <t xml:space="preserve">  🧮 PIANO CONSIGLIATO (automatico)</t>
  </si>
  <si>
    <t xml:space="preserve">Piano consigliato per il tuo utilizzo</t>
  </si>
  <si>
    <t xml:space="preserve">Calcolato automaticamente dai tuoi input</t>
  </si>
  <si>
    <t xml:space="preserve">Costo mensile stimato (€)</t>
  </si>
  <si>
    <t xml:space="preserve">💡 NOTA SUL MODELLO DI COSTO:</t>
  </si>
  <si>
    <t xml:space="preserve">• Con il modello attuale (Netlify proxy), la chiave EL è SERVER-SIDE: TU paghi per tutti gli utenti Pass.</t>
  </si>
  <si>
    <t xml:space="preserve">• Alternativa A: Pass Narratore = utenti portano la propria chiave EL (costo zero per te, ma più friction per l'utente).</t>
  </si>
  <si>
    <t xml:space="preserve">• Alternativa B: Pass Narratore = abbonamento mensile che copre i costi EL (€2,99/mese invece di €4,99 una tantum).</t>
  </si>
  <si>
    <t xml:space="preserve">• Raccomandazione: mantieni chiave server-side e monitora il costo EL mensile. Se supera 30% del revenue Pass → rivedi pricing.</t>
  </si>
  <si>
    <t xml:space="preserve">📈  LUPUS IN FABULA — Confronto Scenari  (Conservative / Realistic / Optimistic)</t>
  </si>
  <si>
    <t xml:space="preserve">Metrica</t>
  </si>
  <si>
    <t xml:space="preserve">Y1</t>
  </si>
  <si>
    <t xml:space="preserve">Y2</t>
  </si>
  <si>
    <t xml:space="preserve">Y3</t>
  </si>
  <si>
    <t xml:space="preserve">◀ CONSERVATIVO ▶</t>
  </si>
  <si>
    <t xml:space="preserve">◀ REALISTICO ▶</t>
  </si>
  <si>
    <t xml:space="preserve">◀ OTTIMISTICO ▶</t>
  </si>
  <si>
    <t xml:space="preserve">Downloads cumulativi</t>
  </si>
  <si>
    <t xml:space="preserve">MAU (Utenti attivi/mese)</t>
  </si>
  <si>
    <t xml:space="preserve">Revenue Lordo (€/anno)</t>
  </si>
  <si>
    <t xml:space="preserve">Commissione Store (€)</t>
  </si>
  <si>
    <t xml:space="preserve">Revenue Netti (€/anno)</t>
  </si>
  <si>
    <t xml:space="preserve">Costi EL + Infra (€/anno)</t>
  </si>
  <si>
    <t xml:space="preserve">UTILE NETTO (€/anno)</t>
  </si>
  <si>
    <t xml:space="preserve">Margine netto %</t>
  </si>
  <si>
    <t xml:space="preserve">ARPU annuo (€/MAU)</t>
  </si>
  <si>
    <t xml:space="preserve">  CONSERVATIVO: download bassi, conv. 6%/2.5%/1%</t>
  </si>
  <si>
    <t xml:space="preserve">  REALISTICO: scenario base del modello principale</t>
  </si>
  <si>
    <t xml:space="preserve">  OTTIMISTICO: viral growth, conv. 10%/6%/3%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</si>
</sst>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&quot; €&quot;;\(#,##0.00&quot; €)&quot;;\-"/>
    <numFmt numFmtId="166" formatCode="0.0%;\(0.0%\);\-"/>
    <numFmt numFmtId="167" formatCode="#,##0;\(#,##0\);\-"/>
    <numFmt numFmtId="168" formatCode="#,##0.0;\(#,##0.0\);\-"/>
    <numFmt numFmtId="169" formatCode="#,##0.0"/>
    <numFmt numFmtId="170" formatCode="#,##0;\(#,##0\);\-"/>
    <numFmt numFmtId="171" formatCode="#,##0&quot; €&quot;;\(#,##0&quot; €)&quot;;\-"/>
    <numFmt numFmtId="172" formatCode="0.0%;\(0.0%\);\-"/>
    <numFmt numFmtId="173" formatCode="\€#,##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E8E8E8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B0000"/>
      <name val="Arial"/>
      <family val="0"/>
      <charset val="1"/>
    </font>
    <font>
      <sz val="9"/>
      <color rgb="FF1E3A5F"/>
      <name val="Arial"/>
      <family val="0"/>
      <charset val="1"/>
    </font>
    <font>
      <sz val="9"/>
      <color rgb="FF1E5C1E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2E4A6F"/>
        <bgColor rgb="FF1E3A5F"/>
      </patternFill>
    </fill>
    <fill>
      <patternFill patternType="solid">
        <fgColor rgb="FFFFFF00"/>
        <bgColor rgb="FFF5E6B8"/>
      </patternFill>
    </fill>
    <fill>
      <patternFill patternType="solid">
        <fgColor rgb="FFE8E8E8"/>
        <bgColor rgb="FFEEEEEE"/>
      </patternFill>
    </fill>
    <fill>
      <patternFill patternType="solid">
        <fgColor rgb="FF1E3A5F"/>
        <bgColor rgb="FF2E4A6F"/>
      </patternFill>
    </fill>
    <fill>
      <patternFill patternType="solid">
        <fgColor rgb="FF555555"/>
        <bgColor rgb="FF666666"/>
      </patternFill>
    </fill>
    <fill>
      <patternFill patternType="solid">
        <fgColor rgb="FFE8F5E9"/>
        <bgColor rgb="FFEEEEEE"/>
      </patternFill>
    </fill>
    <fill>
      <patternFill patternType="solid">
        <fgColor rgb="FFF5E6B8"/>
        <bgColor rgb="FFFFF3CD"/>
      </patternFill>
    </fill>
    <fill>
      <patternFill patternType="solid">
        <fgColor rgb="FF7B241C"/>
        <bgColor rgb="FF800000"/>
      </patternFill>
    </fill>
    <fill>
      <patternFill patternType="solid">
        <fgColor rgb="FFFDEDEC"/>
        <bgColor rgb="FFFFF0F0"/>
      </patternFill>
    </fill>
    <fill>
      <patternFill patternType="solid">
        <fgColor rgb="FFF0FFF0"/>
        <bgColor rgb="FFE8FFE8"/>
      </patternFill>
    </fill>
    <fill>
      <patternFill patternType="solid">
        <fgColor rgb="FFFFFFFF"/>
        <bgColor rgb="FFF0FFF0"/>
      </patternFill>
    </fill>
    <fill>
      <patternFill patternType="solid">
        <fgColor rgb="FFFFF3CD"/>
        <bgColor rgb="FFFDEDEC"/>
      </patternFill>
    </fill>
    <fill>
      <patternFill patternType="solid">
        <fgColor rgb="FF444444"/>
        <bgColor rgb="FF555555"/>
      </patternFill>
    </fill>
    <fill>
      <patternFill patternType="solid">
        <fgColor rgb="FF8B0000"/>
        <bgColor rgb="FF800000"/>
      </patternFill>
    </fill>
    <fill>
      <patternFill patternType="solid">
        <fgColor rgb="FF1E5C1E"/>
        <bgColor rgb="FF444444"/>
      </patternFill>
    </fill>
    <fill>
      <patternFill patternType="solid">
        <fgColor rgb="FFFFF0F0"/>
        <bgColor rgb="FFFDEDEC"/>
      </patternFill>
    </fill>
    <fill>
      <patternFill patternType="solid">
        <fgColor rgb="FFFFE8E8"/>
        <bgColor rgb="FFFDEDEC"/>
      </patternFill>
    </fill>
    <fill>
      <patternFill patternType="solid">
        <fgColor rgb="FFFFD8D8"/>
        <bgColor rgb="FFFFE8E8"/>
      </patternFill>
    </fill>
    <fill>
      <patternFill patternType="solid">
        <fgColor rgb="FFE8F0FF"/>
        <bgColor rgb="FFEEEEEE"/>
      </patternFill>
    </fill>
    <fill>
      <patternFill patternType="solid">
        <fgColor rgb="FFD5E5FF"/>
        <bgColor rgb="FFE8E8E8"/>
      </patternFill>
    </fill>
    <fill>
      <patternFill patternType="solid">
        <fgColor rgb="FFC0D8FF"/>
        <bgColor rgb="FFD5E5FF"/>
      </patternFill>
    </fill>
    <fill>
      <patternFill patternType="solid">
        <fgColor rgb="FFE8FFE8"/>
        <bgColor rgb="FFF0FFF0"/>
      </patternFill>
    </fill>
    <fill>
      <patternFill patternType="solid">
        <fgColor rgb="FFD0FFD0"/>
        <bgColor rgb="FFE8FFE8"/>
      </patternFill>
    </fill>
    <fill>
      <patternFill patternType="solid">
        <fgColor rgb="FFB8FFB8"/>
        <bgColor rgb="FFD0FFD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2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2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3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12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8" fillId="1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3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8" fillId="1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1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3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12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3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0" fontId="30" fillId="1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1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1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1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2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2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2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2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2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2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2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1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1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2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2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2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2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2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2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2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1" fontId="8" fillId="1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1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2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2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2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2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2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2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2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1" fontId="20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1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1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2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2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2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2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2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2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2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1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1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2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2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2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2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2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2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2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6A0DAD"/>
      <rgbColor rgb="FF1E5C1E"/>
      <rgbColor rgb="FFCCCCCC"/>
      <rgbColor rgb="FF888888"/>
      <rgbColor rgb="FFE8E8E8"/>
      <rgbColor rgb="FF555555"/>
      <rgbColor rgb="FFFFF3CD"/>
      <rgbColor rgb="FFE8FFE8"/>
      <rgbColor rgb="FF660066"/>
      <rgbColor rgb="FFEEEEEE"/>
      <rgbColor rgb="FF0066CC"/>
      <rgbColor rgb="FFC0D8FF"/>
      <rgbColor rgb="FF000080"/>
      <rgbColor rgb="FFFF00FF"/>
      <rgbColor rgb="FFB8FFB8"/>
      <rgbColor rgb="FF00FFFF"/>
      <rgbColor rgb="FF800080"/>
      <rgbColor rgb="FF800000"/>
      <rgbColor rgb="FF008080"/>
      <rgbColor rgb="FF0000FF"/>
      <rgbColor rgb="FF00CCFF"/>
      <rgbColor rgb="FFE8F5E9"/>
      <rgbColor rgb="FFD0FFD0"/>
      <rgbColor rgb="FFF5E6B8"/>
      <rgbColor rgb="FFD5E5FF"/>
      <rgbColor rgb="FFFFE8E8"/>
      <rgbColor rgb="FFDDDDDD"/>
      <rgbColor rgb="FFFFD8D8"/>
      <rgbColor rgb="FF3366FF"/>
      <rgbColor rgb="FFF0FFF0"/>
      <rgbColor rgb="FFE8F0FF"/>
      <rgbColor rgb="FFFDEDEC"/>
      <rgbColor rgb="FFC4931A"/>
      <rgbColor rgb="FFFFF0F0"/>
      <rgbColor rgb="FF666666"/>
      <rgbColor rgb="FF999999"/>
      <rgbColor rgb="FF1E3A5F"/>
      <rgbColor rgb="FF1E8449"/>
      <rgbColor rgb="FF0D1117"/>
      <rgbColor rgb="FF444444"/>
      <rgbColor rgb="FF7B241C"/>
      <rgbColor rgb="FF993366"/>
      <rgbColor rgb="FF2E4A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31A"/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32"/>
  </cols>
  <sheetData>
    <row r="1" customFormat="false" ht="39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9.5" hidden="false" customHeight="true" outlineLevel="0" collapsed="false">
      <c r="A4" s="4" t="s">
        <v>2</v>
      </c>
      <c r="B4" s="4"/>
      <c r="C4" s="4"/>
    </row>
    <row r="5" customFormat="false" ht="18" hidden="false" customHeight="true" outlineLevel="0" collapsed="false">
      <c r="A5" s="5" t="s">
        <v>3</v>
      </c>
      <c r="B5" s="6" t="n">
        <v>1.99</v>
      </c>
      <c r="C5" s="7" t="s">
        <v>4</v>
      </c>
    </row>
    <row r="6" customFormat="false" ht="18" hidden="false" customHeight="true" outlineLevel="0" collapsed="false">
      <c r="A6" s="5" t="s">
        <v>5</v>
      </c>
      <c r="B6" s="6" t="n">
        <v>4.99</v>
      </c>
      <c r="C6" s="7" t="s">
        <v>6</v>
      </c>
    </row>
    <row r="7" customFormat="false" ht="18" hidden="false" customHeight="true" outlineLevel="0" collapsed="false">
      <c r="A7" s="5" t="s">
        <v>7</v>
      </c>
      <c r="B7" s="6" t="n">
        <v>7.99</v>
      </c>
      <c r="C7" s="7" t="s">
        <v>8</v>
      </c>
    </row>
    <row r="8" customFormat="false" ht="18" hidden="false" customHeight="true" outlineLevel="0" collapsed="false">
      <c r="A8" s="5" t="s">
        <v>9</v>
      </c>
      <c r="B8" s="8" t="n">
        <v>0.3</v>
      </c>
      <c r="C8" s="7" t="s">
        <v>10</v>
      </c>
    </row>
    <row r="9" customFormat="false" ht="18" hidden="false" customHeight="true" outlineLevel="0" collapsed="false">
      <c r="A9" s="5" t="s">
        <v>11</v>
      </c>
      <c r="B9" s="9" t="n">
        <v>0.15</v>
      </c>
      <c r="C9" s="7" t="s">
        <v>12</v>
      </c>
    </row>
    <row r="11" customFormat="false" ht="19.5" hidden="false" customHeight="true" outlineLevel="0" collapsed="false">
      <c r="A11" s="4" t="s">
        <v>13</v>
      </c>
      <c r="B11" s="4"/>
      <c r="C11" s="4"/>
    </row>
    <row r="12" customFormat="false" ht="18" hidden="false" customHeight="true" outlineLevel="0" collapsed="false">
      <c r="A12" s="5" t="s">
        <v>14</v>
      </c>
      <c r="B12" s="10" t="n">
        <v>15000</v>
      </c>
      <c r="C12" s="7" t="s">
        <v>15</v>
      </c>
    </row>
    <row r="13" customFormat="false" ht="18" hidden="false" customHeight="true" outlineLevel="0" collapsed="false">
      <c r="A13" s="5" t="s">
        <v>16</v>
      </c>
      <c r="B13" s="10" t="n">
        <v>60000</v>
      </c>
      <c r="C13" s="7" t="s">
        <v>17</v>
      </c>
    </row>
    <row r="14" customFormat="false" ht="18" hidden="false" customHeight="true" outlineLevel="0" collapsed="false">
      <c r="A14" s="5" t="s">
        <v>18</v>
      </c>
      <c r="B14" s="10" t="n">
        <v>150000</v>
      </c>
      <c r="C14" s="7" t="s">
        <v>19</v>
      </c>
    </row>
    <row r="15" customFormat="false" ht="18" hidden="false" customHeight="true" outlineLevel="0" collapsed="false">
      <c r="A15" s="5" t="s">
        <v>20</v>
      </c>
      <c r="B15" s="8" t="n">
        <v>0.4</v>
      </c>
      <c r="C15" s="7" t="s">
        <v>21</v>
      </c>
    </row>
    <row r="16" customFormat="false" ht="18" hidden="false" customHeight="true" outlineLevel="0" collapsed="false">
      <c r="A16" s="5" t="s">
        <v>22</v>
      </c>
      <c r="B16" s="8" t="n">
        <v>0.07</v>
      </c>
      <c r="C16" s="7" t="s">
        <v>23</v>
      </c>
    </row>
    <row r="17" customFormat="false" ht="18" hidden="false" customHeight="true" outlineLevel="0" collapsed="false">
      <c r="A17" s="5" t="s">
        <v>24</v>
      </c>
      <c r="B17" s="8" t="n">
        <v>0.04</v>
      </c>
      <c r="C17" s="7" t="s">
        <v>25</v>
      </c>
    </row>
    <row r="18" customFormat="false" ht="18" hidden="false" customHeight="true" outlineLevel="0" collapsed="false">
      <c r="A18" s="5" t="s">
        <v>26</v>
      </c>
      <c r="B18" s="8" t="n">
        <v>0.02</v>
      </c>
      <c r="C18" s="7" t="s">
        <v>27</v>
      </c>
    </row>
    <row r="19" customFormat="false" ht="18" hidden="false" customHeight="true" outlineLevel="0" collapsed="false">
      <c r="A19" s="5" t="s">
        <v>28</v>
      </c>
      <c r="B19" s="11" t="n">
        <v>1.4</v>
      </c>
      <c r="C19" s="7" t="s">
        <v>29</v>
      </c>
    </row>
    <row r="21" customFormat="false" ht="19.5" hidden="false" customHeight="true" outlineLevel="0" collapsed="false">
      <c r="A21" s="4" t="s">
        <v>30</v>
      </c>
      <c r="B21" s="4"/>
      <c r="C21" s="4"/>
    </row>
    <row r="22" customFormat="false" ht="18" hidden="false" customHeight="true" outlineLevel="0" collapsed="false">
      <c r="A22" s="5" t="s">
        <v>31</v>
      </c>
      <c r="B22" s="10" t="n">
        <v>180</v>
      </c>
      <c r="C22" s="7" t="s">
        <v>32</v>
      </c>
    </row>
    <row r="23" customFormat="false" ht="18" hidden="false" customHeight="true" outlineLevel="0" collapsed="false">
      <c r="A23" s="5" t="s">
        <v>33</v>
      </c>
      <c r="B23" s="10" t="n">
        <v>8</v>
      </c>
      <c r="C23" s="7" t="s">
        <v>34</v>
      </c>
    </row>
    <row r="24" customFormat="false" ht="18" hidden="false" customHeight="true" outlineLevel="0" collapsed="false">
      <c r="A24" s="5" t="s">
        <v>35</v>
      </c>
      <c r="B24" s="12" t="n">
        <v>2.5</v>
      </c>
      <c r="C24" s="7" t="s">
        <v>36</v>
      </c>
    </row>
    <row r="25" customFormat="false" ht="18" hidden="false" customHeight="true" outlineLevel="0" collapsed="false">
      <c r="A25" s="5" t="s">
        <v>37</v>
      </c>
      <c r="B25" s="10" t="n">
        <v>100000</v>
      </c>
      <c r="C25" s="7" t="s">
        <v>38</v>
      </c>
    </row>
    <row r="26" customFormat="false" ht="18" hidden="false" customHeight="true" outlineLevel="0" collapsed="false">
      <c r="A26" s="5" t="s">
        <v>39</v>
      </c>
      <c r="B26" s="6" t="n">
        <v>20</v>
      </c>
      <c r="C26" s="7" t="s">
        <v>40</v>
      </c>
    </row>
    <row r="27" customFormat="false" ht="18" hidden="false" customHeight="true" outlineLevel="0" collapsed="false">
      <c r="A27" s="5" t="s">
        <v>41</v>
      </c>
      <c r="B27" s="10" t="n">
        <v>500000</v>
      </c>
      <c r="C27" s="7" t="s">
        <v>42</v>
      </c>
    </row>
    <row r="28" customFormat="false" ht="18" hidden="false" customHeight="true" outlineLevel="0" collapsed="false">
      <c r="A28" s="5" t="s">
        <v>43</v>
      </c>
      <c r="B28" s="6" t="n">
        <v>91</v>
      </c>
      <c r="C28" s="7" t="s">
        <v>44</v>
      </c>
    </row>
    <row r="29" customFormat="false" ht="18" hidden="false" customHeight="true" outlineLevel="0" collapsed="false">
      <c r="A29" s="5" t="s">
        <v>45</v>
      </c>
      <c r="B29" s="10" t="n">
        <v>2000000</v>
      </c>
      <c r="C29" s="7" t="s">
        <v>46</v>
      </c>
    </row>
    <row r="30" customFormat="false" ht="18" hidden="false" customHeight="true" outlineLevel="0" collapsed="false">
      <c r="A30" s="5" t="s">
        <v>47</v>
      </c>
      <c r="B30" s="6" t="n">
        <v>303</v>
      </c>
      <c r="C30" s="7" t="s">
        <v>48</v>
      </c>
    </row>
    <row r="32" customFormat="false" ht="19.5" hidden="false" customHeight="true" outlineLevel="0" collapsed="false">
      <c r="A32" s="4" t="s">
        <v>49</v>
      </c>
      <c r="B32" s="4"/>
      <c r="C32" s="4"/>
    </row>
    <row r="33" customFormat="false" ht="18" hidden="false" customHeight="true" outlineLevel="0" collapsed="false">
      <c r="A33" s="5" t="s">
        <v>50</v>
      </c>
      <c r="B33" s="6" t="n">
        <v>8.25</v>
      </c>
      <c r="C33" s="7" t="s">
        <v>51</v>
      </c>
    </row>
    <row r="34" customFormat="false" ht="18" hidden="false" customHeight="true" outlineLevel="0" collapsed="false">
      <c r="A34" s="5" t="s">
        <v>52</v>
      </c>
      <c r="B34" s="6" t="n">
        <v>1.92</v>
      </c>
      <c r="C34" s="7" t="s">
        <v>53</v>
      </c>
    </row>
    <row r="35" customFormat="false" ht="18" hidden="false" customHeight="true" outlineLevel="0" collapsed="false">
      <c r="A35" s="5" t="s">
        <v>54</v>
      </c>
      <c r="B35" s="6" t="n">
        <v>17</v>
      </c>
      <c r="C35" s="7" t="s">
        <v>55</v>
      </c>
    </row>
    <row r="36" customFormat="false" ht="18" hidden="false" customHeight="true" outlineLevel="0" collapsed="false">
      <c r="A36" s="5" t="s">
        <v>56</v>
      </c>
      <c r="B36" s="13" t="n">
        <v>0</v>
      </c>
      <c r="C36" s="7" t="s">
        <v>57</v>
      </c>
    </row>
    <row r="37" customFormat="false" ht="18" hidden="false" customHeight="true" outlineLevel="0" collapsed="false">
      <c r="A37" s="5" t="s">
        <v>58</v>
      </c>
      <c r="B37" s="6" t="n">
        <v>0</v>
      </c>
      <c r="C37" s="7" t="s">
        <v>59</v>
      </c>
    </row>
    <row r="39" customFormat="false" ht="15" hidden="false" customHeight="true" outlineLevel="0" collapsed="false">
      <c r="A39" s="14" t="s">
        <v>60</v>
      </c>
    </row>
    <row r="40" customFormat="false" ht="15" hidden="false" customHeight="true" outlineLevel="0" collapsed="false">
      <c r="A40" s="15" t="s">
        <v>61</v>
      </c>
    </row>
    <row r="41" customFormat="false" ht="15" hidden="false" customHeight="true" outlineLevel="0" collapsed="false">
      <c r="A41" s="16" t="s">
        <v>62</v>
      </c>
    </row>
    <row r="42" customFormat="false" ht="15" hidden="false" customHeight="true" outlineLevel="0" collapsed="false">
      <c r="A42" s="17" t="s">
        <v>63</v>
      </c>
    </row>
  </sheetData>
  <mergeCells count="6">
    <mergeCell ref="A1:C1"/>
    <mergeCell ref="A2:C2"/>
    <mergeCell ref="A4:C4"/>
    <mergeCell ref="A11:C11"/>
    <mergeCell ref="A21:C21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6"/>
  </cols>
  <sheetData>
    <row r="1" customFormat="false" ht="37.5" hidden="false" customHeight="true" outlineLevel="0" collapsed="false">
      <c r="A1" s="18" t="s">
        <v>64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>
      <c r="A2" s="19" t="s">
        <v>65</v>
      </c>
      <c r="B2" s="20" t="s">
        <v>66</v>
      </c>
      <c r="C2" s="20" t="s">
        <v>67</v>
      </c>
      <c r="D2" s="20" t="s">
        <v>68</v>
      </c>
      <c r="E2" s="21" t="s">
        <v>69</v>
      </c>
      <c r="F2" s="21"/>
      <c r="G2" s="21"/>
    </row>
    <row r="3" customFormat="false" ht="19.5" hidden="false" customHeight="true" outlineLevel="0" collapsed="false">
      <c r="A3" s="4" t="s">
        <v>70</v>
      </c>
      <c r="B3" s="4"/>
      <c r="C3" s="4"/>
      <c r="D3" s="4"/>
      <c r="E3" s="4"/>
      <c r="F3" s="4"/>
      <c r="G3" s="4"/>
    </row>
    <row r="4" customFormat="false" ht="21.75" hidden="false" customHeight="true" outlineLevel="0" collapsed="false">
      <c r="A4" s="22" t="s">
        <v>71</v>
      </c>
      <c r="B4" s="23" t="n">
        <f aca="false">'📋 Assunzioni'!B12</f>
        <v>15000</v>
      </c>
      <c r="C4" s="23" t="n">
        <f aca="false">'📋 Assunzioni'!B12+'📋 Assunzioni'!B13</f>
        <v>75000</v>
      </c>
      <c r="D4" s="23" t="n">
        <f aca="false">'📋 Assunzioni'!B12+'📋 Assunzioni'!B13+'📋 Assunzioni'!B14</f>
        <v>225000</v>
      </c>
      <c r="E4" s="24" t="s">
        <v>72</v>
      </c>
      <c r="F4" s="24"/>
      <c r="G4" s="24"/>
    </row>
    <row r="5" customFormat="false" ht="21.75" hidden="false" customHeight="true" outlineLevel="0" collapsed="false">
      <c r="A5" s="22" t="s">
        <v>73</v>
      </c>
      <c r="B5" s="25" t="n">
        <f aca="false">ROUND('📋 Assunzioni'!B12*'📋 Assunzioni'!B15,0)</f>
        <v>6000</v>
      </c>
      <c r="C5" s="25" t="n">
        <f aca="false">ROUND(('📋 Assunzioni'!B12+'📋 Assunzioni'!B13)*'📋 Assunzioni'!B15,0)</f>
        <v>30000</v>
      </c>
      <c r="D5" s="25" t="n">
        <f aca="false">ROUND(('📋 Assunzioni'!B12+'📋 Assunzioni'!B13+'📋 Assunzioni'!B14)*'📋 Assunzioni'!B15,0)</f>
        <v>90000</v>
      </c>
      <c r="E5" s="24" t="s">
        <v>74</v>
      </c>
      <c r="F5" s="24"/>
      <c r="G5" s="24"/>
    </row>
    <row r="6" customFormat="false" ht="19.5" hidden="false" customHeight="true" outlineLevel="0" collapsed="false">
      <c r="A6" s="4" t="s">
        <v>75</v>
      </c>
      <c r="B6" s="4"/>
      <c r="C6" s="4"/>
      <c r="D6" s="4"/>
      <c r="E6" s="4"/>
      <c r="F6" s="4"/>
      <c r="G6" s="4"/>
    </row>
    <row r="7" customFormat="false" ht="21.75" hidden="false" customHeight="true" outlineLevel="0" collapsed="false">
      <c r="A7" s="22" t="s">
        <v>76</v>
      </c>
      <c r="B7" s="26" t="n">
        <f aca="false">ROUND(B5*'📋 Assunzioni'!B16*'📋 Assunzioni'!B19*'📋 Assunzioni'!B5,2)</f>
        <v>1170.12</v>
      </c>
      <c r="C7" s="26" t="n">
        <f aca="false">ROUND(C5*'📋 Assunzioni'!B16*'📋 Assunzioni'!B19*'📋 Assunzioni'!B5,2)</f>
        <v>5850.6</v>
      </c>
      <c r="D7" s="26" t="n">
        <f aca="false">ROUND(D5*'📋 Assunzioni'!B16*'📋 Assunzioni'!B19*'📋 Assunzioni'!B5,2)</f>
        <v>17551.8</v>
      </c>
      <c r="E7" s="24" t="s">
        <v>77</v>
      </c>
      <c r="F7" s="24"/>
      <c r="G7" s="24"/>
    </row>
    <row r="8" customFormat="false" ht="21.75" hidden="false" customHeight="true" outlineLevel="0" collapsed="false">
      <c r="A8" s="22" t="s">
        <v>78</v>
      </c>
      <c r="B8" s="26" t="n">
        <f aca="false">ROUND(B5*'📋 Assunzioni'!B17*'📋 Assunzioni'!B6,2)</f>
        <v>1197.6</v>
      </c>
      <c r="C8" s="26" t="n">
        <f aca="false">ROUND(C5*'📋 Assunzioni'!B17*'📋 Assunzioni'!B6,2)</f>
        <v>5988</v>
      </c>
      <c r="D8" s="26" t="n">
        <f aca="false">ROUND(D5*'📋 Assunzioni'!B17*'📋 Assunzioni'!B6,2)</f>
        <v>17964</v>
      </c>
      <c r="E8" s="24" t="s">
        <v>79</v>
      </c>
      <c r="F8" s="24"/>
      <c r="G8" s="24"/>
    </row>
    <row r="9" customFormat="false" ht="21.75" hidden="false" customHeight="true" outlineLevel="0" collapsed="false">
      <c r="A9" s="22" t="s">
        <v>80</v>
      </c>
      <c r="B9" s="26" t="n">
        <f aca="false">ROUND(B5*'📋 Assunzioni'!B18*'📋 Assunzioni'!B7,2)</f>
        <v>958.8</v>
      </c>
      <c r="C9" s="26" t="n">
        <f aca="false">ROUND(C5*'📋 Assunzioni'!B18*'📋 Assunzioni'!B7,2)</f>
        <v>4794</v>
      </c>
      <c r="D9" s="26" t="n">
        <f aca="false">ROUND(D5*'📋 Assunzioni'!B18*'📋 Assunzioni'!B7,2)</f>
        <v>14382</v>
      </c>
      <c r="E9" s="24" t="s">
        <v>81</v>
      </c>
      <c r="F9" s="24"/>
      <c r="G9" s="24"/>
    </row>
    <row r="10" customFormat="false" ht="21.75" hidden="false" customHeight="true" outlineLevel="0" collapsed="false">
      <c r="A10" s="27" t="s">
        <v>82</v>
      </c>
      <c r="B10" s="28" t="n">
        <f aca="false">SUM(B7:B9)</f>
        <v>3326.52</v>
      </c>
      <c r="C10" s="28" t="n">
        <f aca="false">SUM(C7:C9)</f>
        <v>16632.6</v>
      </c>
      <c r="D10" s="28" t="n">
        <f aca="false">SUM(D7:D9)</f>
        <v>49897.8</v>
      </c>
      <c r="E10" s="24" t="s">
        <v>83</v>
      </c>
      <c r="F10" s="24"/>
      <c r="G10" s="24"/>
    </row>
    <row r="11" customFormat="false" ht="21.75" hidden="false" customHeight="true" outlineLevel="0" collapsed="false">
      <c r="A11" s="22" t="s">
        <v>84</v>
      </c>
      <c r="B11" s="29" t="n">
        <f aca="false">-ROUND(B10*'📋 Assunzioni'!B9,2)</f>
        <v>-498.98</v>
      </c>
      <c r="C11" s="29" t="n">
        <f aca="false">-ROUND(C10*'📋 Assunzioni'!B9,2)</f>
        <v>-2494.89</v>
      </c>
      <c r="D11" s="29" t="n">
        <f aca="false">-ROUND(D10*'📋 Assunzioni'!B8,2)</f>
        <v>-14969.34</v>
      </c>
      <c r="E11" s="24" t="s">
        <v>85</v>
      </c>
      <c r="F11" s="24"/>
      <c r="G11" s="24"/>
    </row>
    <row r="12" customFormat="false" ht="21.75" hidden="false" customHeight="true" outlineLevel="0" collapsed="false">
      <c r="A12" s="30" t="s">
        <v>86</v>
      </c>
      <c r="B12" s="31" t="n">
        <f aca="false">B10+B11</f>
        <v>2827.54</v>
      </c>
      <c r="C12" s="31" t="n">
        <f aca="false">C10+C11</f>
        <v>14137.71</v>
      </c>
      <c r="D12" s="31" t="n">
        <f aca="false">D10+D11</f>
        <v>34928.46</v>
      </c>
      <c r="E12" s="24" t="s">
        <v>87</v>
      </c>
      <c r="F12" s="24"/>
      <c r="G12" s="24"/>
    </row>
    <row r="13" customFormat="false" ht="19.5" hidden="false" customHeight="true" outlineLevel="0" collapsed="false">
      <c r="A13" s="32" t="s">
        <v>88</v>
      </c>
      <c r="B13" s="32"/>
      <c r="C13" s="32"/>
      <c r="D13" s="32"/>
      <c r="E13" s="32"/>
      <c r="F13" s="32"/>
      <c r="G13" s="32"/>
    </row>
    <row r="14" customFormat="false" ht="21.75" hidden="false" customHeight="true" outlineLevel="0" collapsed="false">
      <c r="A14" s="22" t="s">
        <v>89</v>
      </c>
      <c r="B14" s="26" t="n">
        <f aca="false">ROUND(IF(B5*'📋 Assunzioni'!B17*'📋 Assunzioni'!B24*'📋 Assunzioni'!B23*'📋 Assunzioni'!B22&lt;='📋 Assunzioni'!B27,'📋 Assunzioni'!B28*12,IF(B5*'📋 Assunzioni'!B17*'📋 Assunzioni'!B24*'📋 Assunzioni'!B23*'📋 Assunzioni'!B22&lt;='📋 Assunzioni'!B29,'📋 Assunzioni'!B30*12,'📋 Assunzioni'!B32*12)),2)</f>
        <v>3636</v>
      </c>
      <c r="C14" s="26" t="n">
        <f aca="false">ROUND(IF(C5*'📋 Assunzioni'!B17*'📋 Assunzioni'!B24*'📋 Assunzioni'!B23*'📋 Assunzioni'!B22&lt;='📋 Assunzioni'!B27,'📋 Assunzioni'!B28*12,IF(C5*'📋 Assunzioni'!B17*'📋 Assunzioni'!B24*'📋 Assunzioni'!B23*'📋 Assunzioni'!B22&lt;='📋 Assunzioni'!B29,'📋 Assunzioni'!B30*12,'📋 Assunzioni'!B32*12)),2)</f>
        <v>0</v>
      </c>
      <c r="D14" s="26" t="n">
        <f aca="false">ROUND(IF(D5*'📋 Assunzioni'!B17*'📋 Assunzioni'!B24*'📋 Assunzioni'!B23*'📋 Assunzioni'!B22&lt;='📋 Assunzioni'!B27,'📋 Assunzioni'!B28*12,IF(D5*'📋 Assunzioni'!B17*'📋 Assunzioni'!B24*'📋 Assunzioni'!B23*'📋 Assunzioni'!B22&lt;='📋 Assunzioni'!B29,'📋 Assunzioni'!B30*12,'📋 Assunzioni'!B32*12)),2)</f>
        <v>0</v>
      </c>
      <c r="E14" s="24" t="s">
        <v>90</v>
      </c>
      <c r="F14" s="24"/>
      <c r="G14" s="24"/>
    </row>
    <row r="15" customFormat="false" ht="21.75" hidden="false" customHeight="true" outlineLevel="0" collapsed="false">
      <c r="A15" s="22" t="s">
        <v>91</v>
      </c>
      <c r="B15" s="26" t="n">
        <f aca="false">'📋 Assunzioni'!B35*12</f>
        <v>204</v>
      </c>
      <c r="C15" s="26" t="n">
        <f aca="false">'📋 Assunzioni'!B35*12</f>
        <v>204</v>
      </c>
      <c r="D15" s="26" t="n">
        <f aca="false">'📋 Assunzioni'!B35*12</f>
        <v>204</v>
      </c>
      <c r="E15" s="24" t="s">
        <v>92</v>
      </c>
      <c r="F15" s="24"/>
      <c r="G15" s="24"/>
    </row>
    <row r="16" customFormat="false" ht="21.75" hidden="false" customHeight="true" outlineLevel="0" collapsed="false">
      <c r="A16" s="22" t="s">
        <v>93</v>
      </c>
      <c r="B16" s="26" t="n">
        <f aca="false">'📋 Assunzioni'!B36*12</f>
        <v>0</v>
      </c>
      <c r="C16" s="26" t="s">
        <v>94</v>
      </c>
      <c r="D16" s="26" t="s">
        <v>94</v>
      </c>
      <c r="E16" s="24" t="s">
        <v>95</v>
      </c>
      <c r="F16" s="24"/>
      <c r="G16" s="24"/>
    </row>
    <row r="17" customFormat="false" ht="21.75" hidden="false" customHeight="true" outlineLevel="0" collapsed="false">
      <c r="A17" s="22" t="s">
        <v>96</v>
      </c>
      <c r="B17" s="26" t="n">
        <f aca="false">'📋 Assunzioni'!B37*12</f>
        <v>0</v>
      </c>
      <c r="C17" s="26" t="n">
        <f aca="false">'📋 Assunzioni'!B37*12</f>
        <v>0</v>
      </c>
      <c r="D17" s="26" t="n">
        <f aca="false">'📋 Assunzioni'!B37*12</f>
        <v>0</v>
      </c>
      <c r="E17" s="24" t="s">
        <v>97</v>
      </c>
      <c r="F17" s="24"/>
      <c r="G17" s="24"/>
    </row>
    <row r="18" customFormat="false" ht="21.75" hidden="false" customHeight="true" outlineLevel="0" collapsed="false">
      <c r="A18" s="22" t="s">
        <v>98</v>
      </c>
      <c r="B18" s="26" t="n">
        <f aca="false">'📋 Assunzioni'!B38*12</f>
        <v>0</v>
      </c>
      <c r="C18" s="26" t="n">
        <f aca="false">IF(B12/12&gt;2300,ROUND(B12*0.01,2),0)</f>
        <v>0</v>
      </c>
      <c r="D18" s="26" t="n">
        <f aca="false">IF(C12/12&gt;2300,ROUND(C12*0.01,2),0)</f>
        <v>0</v>
      </c>
      <c r="E18" s="24" t="s">
        <v>99</v>
      </c>
      <c r="F18" s="24"/>
      <c r="G18" s="24"/>
    </row>
    <row r="19" customFormat="false" ht="21.75" hidden="false" customHeight="true" outlineLevel="0" collapsed="false">
      <c r="A19" s="22" t="s">
        <v>100</v>
      </c>
      <c r="B19" s="26" t="n">
        <f aca="false">'📋 Assunzioni'!B39*12</f>
        <v>0</v>
      </c>
      <c r="C19" s="26" t="s">
        <v>94</v>
      </c>
      <c r="D19" s="26" t="n">
        <f aca="false">ROUND(D5*0.0012*12,2)</f>
        <v>1296</v>
      </c>
      <c r="E19" s="24" t="s">
        <v>101</v>
      </c>
      <c r="F19" s="24"/>
      <c r="G19" s="24"/>
    </row>
    <row r="20" customFormat="false" ht="21.75" hidden="false" customHeight="true" outlineLevel="0" collapsed="false">
      <c r="A20" s="33" t="s">
        <v>102</v>
      </c>
      <c r="B20" s="34" t="n">
        <f aca="false">SUM(B14:B19)</f>
        <v>3840</v>
      </c>
      <c r="C20" s="34" t="n">
        <f aca="false">SUM(C14:C19)</f>
        <v>204</v>
      </c>
      <c r="D20" s="34" t="n">
        <f aca="false">SUM(D14:D19)</f>
        <v>1500</v>
      </c>
      <c r="E20" s="24" t="s">
        <v>103</v>
      </c>
      <c r="F20" s="24"/>
      <c r="G20" s="24"/>
    </row>
    <row r="21" customFormat="false" ht="19.5" hidden="false" customHeight="true" outlineLevel="0" collapsed="false">
      <c r="A21" s="35" t="s">
        <v>104</v>
      </c>
      <c r="B21" s="35"/>
      <c r="C21" s="35"/>
      <c r="D21" s="35"/>
      <c r="E21" s="35"/>
      <c r="F21" s="35"/>
      <c r="G21" s="35"/>
    </row>
    <row r="22" customFormat="false" ht="21.75" hidden="false" customHeight="true" outlineLevel="0" collapsed="false">
      <c r="A22" s="30" t="s">
        <v>105</v>
      </c>
      <c r="B22" s="31" t="n">
        <f aca="false">B12-B20</f>
        <v>-1012.46</v>
      </c>
      <c r="C22" s="31" t="n">
        <f aca="false">C12-C20</f>
        <v>13933.71</v>
      </c>
      <c r="D22" s="31" t="n">
        <f aca="false">D12-D20</f>
        <v>33428.46</v>
      </c>
      <c r="E22" s="24" t="s">
        <v>106</v>
      </c>
      <c r="F22" s="24"/>
      <c r="G22" s="24"/>
    </row>
    <row r="23" customFormat="false" ht="21.75" hidden="false" customHeight="true" outlineLevel="0" collapsed="false">
      <c r="A23" s="22" t="s">
        <v>107</v>
      </c>
      <c r="B23" s="36" t="n">
        <f aca="false">IF(B12&lt;&gt;0,B22/B12,0)</f>
        <v>-0.358070973354931</v>
      </c>
      <c r="C23" s="36" t="n">
        <f aca="false">IF(C12&lt;&gt;0,C22/C12,0)</f>
        <v>0.985570506114498</v>
      </c>
      <c r="D23" s="36" t="n">
        <f aca="false">IF(D12&lt;&gt;0,D22/D12,0)</f>
        <v>0.95705507772172</v>
      </c>
      <c r="E23" s="24" t="s">
        <v>108</v>
      </c>
      <c r="F23" s="24"/>
      <c r="G23" s="24"/>
    </row>
    <row r="24" customFormat="false" ht="21.75" hidden="false" customHeight="true" outlineLevel="0" collapsed="false">
      <c r="A24" s="22" t="s">
        <v>109</v>
      </c>
      <c r="B24" s="26" t="n">
        <f aca="false">IF(B5&gt;0,B12/B5,0)</f>
        <v>0.471256666666667</v>
      </c>
      <c r="C24" s="26" t="n">
        <f aca="false">IF(C5&gt;0,C12/C5,0)</f>
        <v>0.471257</v>
      </c>
      <c r="D24" s="26" t="n">
        <f aca="false">IF(D5&gt;0,D12/D5,0)</f>
        <v>0.388094</v>
      </c>
      <c r="E24" s="24" t="s">
        <v>110</v>
      </c>
      <c r="F24" s="24"/>
      <c r="G24" s="24"/>
    </row>
  </sheetData>
  <mergeCells count="24">
    <mergeCell ref="A1:G1"/>
    <mergeCell ref="E2:G2"/>
    <mergeCell ref="A3:G3"/>
    <mergeCell ref="E4:G4"/>
    <mergeCell ref="E5:G5"/>
    <mergeCell ref="A6:G6"/>
    <mergeCell ref="E7:G7"/>
    <mergeCell ref="E8:G8"/>
    <mergeCell ref="E9:G9"/>
    <mergeCell ref="E10:G10"/>
    <mergeCell ref="E11:G11"/>
    <mergeCell ref="E12:G12"/>
    <mergeCell ref="A13:G13"/>
    <mergeCell ref="E14:G14"/>
    <mergeCell ref="E15:G15"/>
    <mergeCell ref="E16:G16"/>
    <mergeCell ref="E17:G17"/>
    <mergeCell ref="E18:G18"/>
    <mergeCell ref="E19:G19"/>
    <mergeCell ref="E20:G20"/>
    <mergeCell ref="A21:G21"/>
    <mergeCell ref="E22:G22"/>
    <mergeCell ref="E23:G23"/>
    <mergeCell ref="E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0DAD"/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32"/>
  </cols>
  <sheetData>
    <row r="1" customFormat="false" ht="37.5" hidden="false" customHeight="true" outlineLevel="0" collapsed="false">
      <c r="A1" s="18" t="s">
        <v>111</v>
      </c>
      <c r="B1" s="18"/>
      <c r="C1" s="18"/>
    </row>
    <row r="3" customFormat="false" ht="19.5" hidden="false" customHeight="true" outlineLevel="0" collapsed="false">
      <c r="A3" s="4" t="s">
        <v>112</v>
      </c>
      <c r="B3" s="4"/>
      <c r="C3" s="4"/>
    </row>
    <row r="4" customFormat="false" ht="18" hidden="false" customHeight="true" outlineLevel="0" collapsed="false">
      <c r="A4" s="5" t="s">
        <v>113</v>
      </c>
      <c r="B4" s="10" t="n">
        <v>50</v>
      </c>
      <c r="C4" s="7" t="s">
        <v>114</v>
      </c>
    </row>
    <row r="5" customFormat="false" ht="18" hidden="false" customHeight="true" outlineLevel="0" collapsed="false">
      <c r="A5" s="5" t="s">
        <v>115</v>
      </c>
      <c r="B5" s="12" t="n">
        <v>2.5</v>
      </c>
      <c r="C5" s="7" t="s">
        <v>116</v>
      </c>
    </row>
    <row r="6" customFormat="false" ht="18" hidden="false" customHeight="true" outlineLevel="0" collapsed="false">
      <c r="A6" s="5" t="s">
        <v>33</v>
      </c>
      <c r="B6" s="10" t="n">
        <v>8</v>
      </c>
      <c r="C6" s="7" t="s">
        <v>117</v>
      </c>
    </row>
    <row r="7" customFormat="false" ht="18" hidden="false" customHeight="true" outlineLevel="0" collapsed="false">
      <c r="A7" s="5" t="s">
        <v>31</v>
      </c>
      <c r="B7" s="10" t="n">
        <v>180</v>
      </c>
      <c r="C7" s="7" t="s">
        <v>118</v>
      </c>
    </row>
    <row r="8" customFormat="false" ht="15" hidden="false" customHeight="true" outlineLevel="0" collapsed="false">
      <c r="A8" s="37" t="s">
        <v>119</v>
      </c>
      <c r="B8" s="38" t="n">
        <f aca="false">ROUND(B4*B5*B6*B7,0)</f>
        <v>180000</v>
      </c>
      <c r="C8" s="39" t="s">
        <v>120</v>
      </c>
    </row>
    <row r="10" customFormat="false" ht="19.5" hidden="false" customHeight="true" outlineLevel="0" collapsed="false">
      <c r="A10" s="4" t="s">
        <v>121</v>
      </c>
      <c r="B10" s="4"/>
      <c r="C10" s="4"/>
    </row>
    <row r="11" customFormat="false" ht="15" hidden="false" customHeight="true" outlineLevel="0" collapsed="false">
      <c r="A11" s="20" t="s">
        <v>122</v>
      </c>
      <c r="B11" s="20" t="s">
        <v>123</v>
      </c>
      <c r="C11" s="20" t="s">
        <v>124</v>
      </c>
    </row>
    <row r="12" customFormat="false" ht="15" hidden="false" customHeight="true" outlineLevel="0" collapsed="false">
      <c r="A12" s="40" t="s">
        <v>125</v>
      </c>
      <c r="B12" s="41" t="n">
        <v>0</v>
      </c>
      <c r="C12" s="42" t="s">
        <v>126</v>
      </c>
    </row>
    <row r="13" customFormat="false" ht="15" hidden="false" customHeight="true" outlineLevel="0" collapsed="false">
      <c r="A13" s="43" t="s">
        <v>127</v>
      </c>
      <c r="B13" s="44" t="n">
        <v>20</v>
      </c>
      <c r="C13" s="45" t="s">
        <v>128</v>
      </c>
    </row>
    <row r="14" customFormat="false" ht="15" hidden="false" customHeight="true" outlineLevel="0" collapsed="false">
      <c r="A14" s="40" t="s">
        <v>129</v>
      </c>
      <c r="B14" s="41" t="n">
        <v>91</v>
      </c>
      <c r="C14" s="42" t="s">
        <v>130</v>
      </c>
    </row>
    <row r="15" customFormat="false" ht="15" hidden="false" customHeight="true" outlineLevel="0" collapsed="false">
      <c r="A15" s="46" t="s">
        <v>131</v>
      </c>
      <c r="B15" s="44" t="n">
        <v>303</v>
      </c>
      <c r="C15" s="45" t="s">
        <v>132</v>
      </c>
    </row>
    <row r="16" customFormat="false" ht="15" hidden="false" customHeight="true" outlineLevel="0" collapsed="false">
      <c r="A16" s="47" t="s">
        <v>133</v>
      </c>
      <c r="B16" s="41" t="n">
        <v>1210</v>
      </c>
      <c r="C16" s="42" t="s">
        <v>134</v>
      </c>
    </row>
    <row r="18" customFormat="false" ht="19.5" hidden="false" customHeight="true" outlineLevel="0" collapsed="false">
      <c r="A18" s="4" t="s">
        <v>135</v>
      </c>
      <c r="B18" s="4"/>
      <c r="C18" s="4"/>
    </row>
    <row r="19" customFormat="false" ht="15" hidden="false" customHeight="true" outlineLevel="0" collapsed="false">
      <c r="A19" s="48" t="s">
        <v>136</v>
      </c>
      <c r="B19" s="49" t="str">
        <f aca="false">IF(B8&lt;=10000,"Free ✅",IF(B8&lt;=100000,"Creator — €20/mese",IF(B8&lt;=500000,"Pro — €91/mese",IF(B8&lt;=2000000,"Scale — €303/mese","Business — €1.210/mese"))))</f>
        <v>Pro — €91/mese</v>
      </c>
      <c r="C19" s="50" t="s">
        <v>137</v>
      </c>
    </row>
    <row r="20" customFormat="false" ht="15" hidden="false" customHeight="true" outlineLevel="0" collapsed="false">
      <c r="A20" s="48" t="s">
        <v>138</v>
      </c>
      <c r="B20" s="51" t="n">
        <f aca="false">IF(B8&lt;=10000,0,IF(B8&lt;=100000,20,IF(B8&lt;=500000,91,IF(B8&lt;=2000000,303,1210))))</f>
        <v>91</v>
      </c>
    </row>
    <row r="22" customFormat="false" ht="15" hidden="false" customHeight="true" outlineLevel="0" collapsed="false">
      <c r="A22" s="52" t="s">
        <v>139</v>
      </c>
      <c r="B22" s="52"/>
      <c r="C22" s="52"/>
    </row>
    <row r="23" customFormat="false" ht="19.5" hidden="false" customHeight="true" outlineLevel="0" collapsed="false">
      <c r="A23" s="53" t="s">
        <v>140</v>
      </c>
      <c r="B23" s="53"/>
      <c r="C23" s="53"/>
    </row>
    <row r="24" customFormat="false" ht="19.5" hidden="false" customHeight="true" outlineLevel="0" collapsed="false">
      <c r="A24" s="53" t="s">
        <v>141</v>
      </c>
      <c r="B24" s="53"/>
      <c r="C24" s="53"/>
    </row>
    <row r="25" customFormat="false" ht="19.5" hidden="false" customHeight="true" outlineLevel="0" collapsed="false">
      <c r="A25" s="53" t="s">
        <v>142</v>
      </c>
      <c r="B25" s="53"/>
      <c r="C25" s="53"/>
    </row>
    <row r="26" customFormat="false" ht="19.5" hidden="false" customHeight="true" outlineLevel="0" collapsed="false">
      <c r="A26" s="53" t="s">
        <v>143</v>
      </c>
      <c r="B26" s="53"/>
      <c r="C26" s="53"/>
    </row>
  </sheetData>
  <mergeCells count="9">
    <mergeCell ref="A1:C1"/>
    <mergeCell ref="A3:C3"/>
    <mergeCell ref="A10:C10"/>
    <mergeCell ref="A18:C18"/>
    <mergeCell ref="A22:C22"/>
    <mergeCell ref="A23:C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31A"/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4"/>
  </cols>
  <sheetData>
    <row r="1" customFormat="false" ht="36" hidden="false" customHeight="true" outlineLevel="0" collapsed="false">
      <c r="A1" s="54" t="s">
        <v>144</v>
      </c>
      <c r="B1" s="54"/>
      <c r="C1" s="54"/>
      <c r="D1" s="54"/>
      <c r="E1" s="54"/>
      <c r="F1" s="54"/>
      <c r="G1" s="54"/>
      <c r="H1" s="54"/>
      <c r="I1" s="54"/>
      <c r="J1" s="54"/>
    </row>
    <row r="2" customFormat="false" ht="15" hidden="false" customHeight="true" outlineLevel="0" collapsed="false">
      <c r="A2" s="55" t="s">
        <v>145</v>
      </c>
      <c r="B2" s="56" t="s">
        <v>146</v>
      </c>
      <c r="C2" s="56" t="s">
        <v>147</v>
      </c>
      <c r="D2" s="56" t="s">
        <v>148</v>
      </c>
      <c r="E2" s="20" t="s">
        <v>146</v>
      </c>
      <c r="F2" s="20" t="s">
        <v>147</v>
      </c>
      <c r="G2" s="20" t="s">
        <v>148</v>
      </c>
      <c r="H2" s="57" t="s">
        <v>146</v>
      </c>
      <c r="I2" s="57" t="s">
        <v>147</v>
      </c>
      <c r="J2" s="57" t="s">
        <v>148</v>
      </c>
    </row>
    <row r="3" customFormat="false" ht="15" hidden="false" customHeight="true" outlineLevel="0" collapsed="false">
      <c r="B3" s="58" t="s">
        <v>149</v>
      </c>
      <c r="C3" s="58"/>
      <c r="D3" s="58"/>
      <c r="E3" s="58" t="s">
        <v>150</v>
      </c>
      <c r="F3" s="58"/>
      <c r="G3" s="58"/>
      <c r="H3" s="58" t="s">
        <v>151</v>
      </c>
      <c r="I3" s="58"/>
      <c r="J3" s="58"/>
    </row>
    <row r="4" customFormat="false" ht="21.75" hidden="false" customHeight="true" outlineLevel="0" collapsed="false">
      <c r="A4" s="59" t="s">
        <v>152</v>
      </c>
      <c r="B4" s="60" t="n">
        <v>5000</v>
      </c>
      <c r="C4" s="61" t="n">
        <v>20000</v>
      </c>
      <c r="D4" s="62" t="n">
        <v>50000</v>
      </c>
      <c r="E4" s="63" t="n">
        <v>15000</v>
      </c>
      <c r="F4" s="64" t="n">
        <v>60000</v>
      </c>
      <c r="G4" s="65" t="n">
        <v>150000</v>
      </c>
      <c r="H4" s="66" t="n">
        <v>40000</v>
      </c>
      <c r="I4" s="67" t="n">
        <v>150000</v>
      </c>
      <c r="J4" s="68" t="n">
        <v>400000</v>
      </c>
    </row>
    <row r="5" customFormat="false" ht="21.75" hidden="false" customHeight="true" outlineLevel="0" collapsed="false">
      <c r="A5" s="59" t="s">
        <v>153</v>
      </c>
      <c r="B5" s="60" t="n">
        <v>1750</v>
      </c>
      <c r="C5" s="61" t="n">
        <v>7000</v>
      </c>
      <c r="D5" s="62" t="n">
        <v>17500</v>
      </c>
      <c r="E5" s="63" t="n">
        <v>6000</v>
      </c>
      <c r="F5" s="64" t="n">
        <v>24000</v>
      </c>
      <c r="G5" s="65" t="n">
        <v>60000</v>
      </c>
      <c r="H5" s="66" t="n">
        <v>20000</v>
      </c>
      <c r="I5" s="67" t="n">
        <v>75000</v>
      </c>
      <c r="J5" s="68" t="n">
        <v>200000</v>
      </c>
    </row>
    <row r="6" customFormat="false" ht="21.75" hidden="false" customHeight="true" outlineLevel="0" collapsed="false">
      <c r="A6" s="59" t="s">
        <v>154</v>
      </c>
      <c r="B6" s="69" t="n">
        <v>868</v>
      </c>
      <c r="C6" s="70" t="n">
        <v>3472</v>
      </c>
      <c r="D6" s="71" t="n">
        <v>8679</v>
      </c>
      <c r="E6" s="72" t="n">
        <v>3800</v>
      </c>
      <c r="F6" s="73" t="n">
        <v>15222</v>
      </c>
      <c r="G6" s="74" t="n">
        <v>38055</v>
      </c>
      <c r="H6" s="75" t="n">
        <v>14320</v>
      </c>
      <c r="I6" s="76" t="n">
        <v>53700</v>
      </c>
      <c r="J6" s="77" t="n">
        <v>142900</v>
      </c>
    </row>
    <row r="7" customFormat="false" ht="21.75" hidden="false" customHeight="true" outlineLevel="0" collapsed="false">
      <c r="A7" s="59" t="s">
        <v>155</v>
      </c>
      <c r="B7" s="78" t="n">
        <v>-130</v>
      </c>
      <c r="C7" s="79" t="n">
        <v>-521</v>
      </c>
      <c r="D7" s="80" t="n">
        <v>-1302</v>
      </c>
      <c r="E7" s="81" t="n">
        <v>-570</v>
      </c>
      <c r="F7" s="82" t="n">
        <v>-2283</v>
      </c>
      <c r="G7" s="83" t="n">
        <v>-11417</v>
      </c>
      <c r="H7" s="84" t="n">
        <v>-2148</v>
      </c>
      <c r="I7" s="85" t="n">
        <v>-8055</v>
      </c>
      <c r="J7" s="86" t="n">
        <v>-42870</v>
      </c>
    </row>
    <row r="8" customFormat="false" ht="21.75" hidden="false" customHeight="true" outlineLevel="0" collapsed="false">
      <c r="A8" s="87" t="s">
        <v>156</v>
      </c>
      <c r="B8" s="88" t="n">
        <v>738</v>
      </c>
      <c r="C8" s="89" t="n">
        <v>2951</v>
      </c>
      <c r="D8" s="90" t="n">
        <v>7377</v>
      </c>
      <c r="E8" s="91" t="n">
        <v>3230</v>
      </c>
      <c r="F8" s="92" t="n">
        <v>12939</v>
      </c>
      <c r="G8" s="93" t="n">
        <v>26638</v>
      </c>
      <c r="H8" s="94" t="n">
        <v>12172</v>
      </c>
      <c r="I8" s="95" t="n">
        <v>45645</v>
      </c>
      <c r="J8" s="96" t="n">
        <v>100030</v>
      </c>
    </row>
    <row r="9" customFormat="false" ht="21.75" hidden="false" customHeight="true" outlineLevel="0" collapsed="false">
      <c r="A9" s="59" t="s">
        <v>157</v>
      </c>
      <c r="B9" s="78" t="n">
        <v>219</v>
      </c>
      <c r="C9" s="79" t="n">
        <v>219</v>
      </c>
      <c r="D9" s="80" t="n">
        <v>240</v>
      </c>
      <c r="E9" s="81" t="n">
        <v>1092</v>
      </c>
      <c r="F9" s="82" t="n">
        <v>3636</v>
      </c>
      <c r="G9" s="83" t="n">
        <v>5796</v>
      </c>
      <c r="H9" s="84" t="n">
        <v>3636</v>
      </c>
      <c r="I9" s="85" t="n">
        <v>10884</v>
      </c>
      <c r="J9" s="86" t="n">
        <v>16380</v>
      </c>
    </row>
    <row r="10" customFormat="false" ht="21.75" hidden="false" customHeight="true" outlineLevel="0" collapsed="false">
      <c r="A10" s="97" t="s">
        <v>158</v>
      </c>
      <c r="B10" s="98" t="n">
        <v>519</v>
      </c>
      <c r="C10" s="98" t="n">
        <v>2732</v>
      </c>
      <c r="D10" s="98" t="n">
        <v>7137</v>
      </c>
      <c r="E10" s="98" t="n">
        <v>2138</v>
      </c>
      <c r="F10" s="98" t="n">
        <v>9303</v>
      </c>
      <c r="G10" s="98" t="n">
        <v>20842</v>
      </c>
      <c r="H10" s="98" t="n">
        <v>8536</v>
      </c>
      <c r="I10" s="98" t="n">
        <v>34761</v>
      </c>
      <c r="J10" s="98" t="n">
        <v>83650</v>
      </c>
    </row>
    <row r="11" customFormat="false" ht="21.75" hidden="false" customHeight="true" outlineLevel="0" collapsed="false">
      <c r="A11" s="59" t="s">
        <v>159</v>
      </c>
      <c r="B11" s="99" t="n">
        <v>0.703</v>
      </c>
      <c r="C11" s="100" t="n">
        <v>0.926</v>
      </c>
      <c r="D11" s="101" t="n">
        <v>0.968</v>
      </c>
      <c r="E11" s="102" t="n">
        <v>0.662</v>
      </c>
      <c r="F11" s="103" t="n">
        <v>0.719</v>
      </c>
      <c r="G11" s="104" t="n">
        <v>0.783</v>
      </c>
      <c r="H11" s="105" t="n">
        <v>0.701</v>
      </c>
      <c r="I11" s="106" t="n">
        <v>0.762</v>
      </c>
      <c r="J11" s="107" t="n">
        <v>0.836</v>
      </c>
    </row>
    <row r="12" customFormat="false" ht="21.75" hidden="false" customHeight="true" outlineLevel="0" collapsed="false">
      <c r="A12" s="59" t="s">
        <v>160</v>
      </c>
      <c r="B12" s="108" t="n">
        <v>0.42</v>
      </c>
      <c r="C12" s="109" t="n">
        <v>0.42</v>
      </c>
      <c r="D12" s="110" t="n">
        <v>0.42</v>
      </c>
      <c r="E12" s="111" t="n">
        <v>0.54</v>
      </c>
      <c r="F12" s="112" t="n">
        <v>0.54</v>
      </c>
      <c r="G12" s="113" t="n">
        <v>0.44</v>
      </c>
      <c r="H12" s="114" t="n">
        <v>0.61</v>
      </c>
      <c r="I12" s="115" t="n">
        <v>0.61</v>
      </c>
      <c r="J12" s="116" t="n">
        <v>0.5</v>
      </c>
    </row>
    <row r="13" customFormat="false" ht="15" hidden="false" customHeight="true" outlineLevel="0" collapsed="false">
      <c r="A13" s="117" t="s">
        <v>161</v>
      </c>
    </row>
    <row r="14" customFormat="false" ht="15" hidden="false" customHeight="true" outlineLevel="0" collapsed="false">
      <c r="A14" s="118" t="s">
        <v>162</v>
      </c>
    </row>
    <row r="15" customFormat="false" ht="15" hidden="false" customHeight="true" outlineLevel="0" collapsed="false">
      <c r="A15" s="119" t="s">
        <v>163</v>
      </c>
      <c r="B15" s="119"/>
      <c r="C15" s="119"/>
      <c r="D15" s="119"/>
      <c r="E15" s="119"/>
      <c r="F15" s="119"/>
      <c r="G15" s="119"/>
      <c r="H15" s="119"/>
      <c r="I15" s="119"/>
      <c r="J15" s="119"/>
    </row>
  </sheetData>
  <mergeCells count="5">
    <mergeCell ref="A1:J1"/>
    <mergeCell ref="B3:D3"/>
    <mergeCell ref="E3:G3"/>
    <mergeCell ref="H3:J3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2026-04-09T08:00:09Z</dcterms:created>
  <dc:creator>openpyxl</dc:creator>
  <dc:description/>
  <dc:language>en-US</dc:language>
  <cp:lastModifiedBy/>
  <dcterms:modified xsi:type="dcterms:W3CDTF">2026-04-09T08:01:43Z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